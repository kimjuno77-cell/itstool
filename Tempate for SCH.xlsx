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Y:\2025\21. ★수원열병합\00. 실행\06. 제출자료\수원CHP Master SCH\2026.04\"/>
    </mc:Choice>
  </mc:AlternateContent>
  <xr:revisionPtr revIDLastSave="0" documentId="13_ncr:1_{8C006832-8657-49EE-B8F0-585219699B3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chedule" sheetId="1" r:id="rId1"/>
    <sheet name="Project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" l="1"/>
  <c r="S16" i="1" s="1"/>
  <c r="O2" i="1"/>
  <c r="S2" i="1" s="1"/>
  <c r="S22" i="1"/>
  <c r="S18" i="1"/>
  <c r="O15" i="1"/>
  <c r="S15" i="1"/>
  <c r="S6" i="1"/>
  <c r="S14" i="1"/>
  <c r="S13" i="1"/>
  <c r="S32" i="1"/>
  <c r="S31" i="1"/>
  <c r="S30" i="1"/>
  <c r="S29" i="1"/>
  <c r="S28" i="1"/>
  <c r="S27" i="1"/>
  <c r="S26" i="1"/>
  <c r="S25" i="1"/>
  <c r="S24" i="1"/>
  <c r="S23" i="1"/>
  <c r="S21" i="1"/>
  <c r="S20" i="1"/>
  <c r="S19" i="1"/>
  <c r="S17" i="1"/>
  <c r="S12" i="1"/>
  <c r="S11" i="1"/>
  <c r="S10" i="1"/>
  <c r="S9" i="1"/>
  <c r="J15" i="1" l="1"/>
  <c r="O8" i="1"/>
  <c r="S7" i="1"/>
  <c r="S5" i="1"/>
  <c r="S4" i="1"/>
  <c r="P14" i="1"/>
  <c r="P13" i="1"/>
  <c r="J3" i="1"/>
  <c r="J32" i="1"/>
  <c r="N32" i="1" s="1"/>
  <c r="O32" i="1" l="1"/>
  <c r="T32" i="1" s="1"/>
  <c r="X32" i="1" s="1"/>
  <c r="Y32" i="1" s="1"/>
  <c r="AC32" i="1" s="1"/>
  <c r="AD32" i="1" s="1"/>
  <c r="P8" i="1"/>
  <c r="P7" i="1"/>
  <c r="P15" i="1"/>
  <c r="J27" i="1"/>
  <c r="N27" i="1" s="1"/>
  <c r="O27" i="1" s="1"/>
  <c r="J28" i="1"/>
  <c r="N28" i="1" s="1"/>
  <c r="O28" i="1" s="1"/>
  <c r="J29" i="1"/>
  <c r="N29" i="1" s="1"/>
  <c r="O29" i="1" s="1"/>
  <c r="J30" i="1"/>
  <c r="N30" i="1" s="1"/>
  <c r="O30" i="1" s="1"/>
  <c r="J31" i="1"/>
  <c r="N31" i="1" s="1"/>
  <c r="O31" i="1" s="1"/>
  <c r="N3" i="1"/>
  <c r="J4" i="1"/>
  <c r="N4" i="1" s="1"/>
  <c r="O4" i="1" s="1"/>
  <c r="J5" i="1"/>
  <c r="N5" i="1" s="1"/>
  <c r="O5" i="1" s="1"/>
  <c r="J6" i="1"/>
  <c r="N6" i="1" s="1"/>
  <c r="O6" i="1" s="1"/>
  <c r="J7" i="1"/>
  <c r="N7" i="1" s="1"/>
  <c r="J8" i="1"/>
  <c r="N8" i="1" s="1"/>
  <c r="J9" i="1"/>
  <c r="N9" i="1" s="1"/>
  <c r="J10" i="1"/>
  <c r="N10" i="1" s="1"/>
  <c r="J11" i="1"/>
  <c r="N11" i="1" s="1"/>
  <c r="J12" i="1"/>
  <c r="N12" i="1" s="1"/>
  <c r="O12" i="1" s="1"/>
  <c r="J13" i="1"/>
  <c r="N13" i="1" s="1"/>
  <c r="O13" i="1" s="1"/>
  <c r="J14" i="1"/>
  <c r="N14" i="1" s="1"/>
  <c r="O14" i="1" s="1"/>
  <c r="N15" i="1"/>
  <c r="J16" i="1"/>
  <c r="N16" i="1" s="1"/>
  <c r="J17" i="1"/>
  <c r="N17" i="1" s="1"/>
  <c r="O17" i="1" s="1"/>
  <c r="J18" i="1"/>
  <c r="N18" i="1" s="1"/>
  <c r="O18" i="1" s="1"/>
  <c r="J19" i="1"/>
  <c r="N19" i="1" s="1"/>
  <c r="O19" i="1" s="1"/>
  <c r="J20" i="1"/>
  <c r="N20" i="1" s="1"/>
  <c r="O20" i="1" s="1"/>
  <c r="J21" i="1"/>
  <c r="N21" i="1" s="1"/>
  <c r="O21" i="1" s="1"/>
  <c r="J22" i="1"/>
  <c r="N22" i="1" s="1"/>
  <c r="O22" i="1" s="1"/>
  <c r="J23" i="1"/>
  <c r="N23" i="1" s="1"/>
  <c r="O23" i="1" s="1"/>
  <c r="J24" i="1"/>
  <c r="N24" i="1" s="1"/>
  <c r="O24" i="1" s="1"/>
  <c r="J25" i="1"/>
  <c r="N25" i="1" s="1"/>
  <c r="O25" i="1" s="1"/>
  <c r="J26" i="1"/>
  <c r="N26" i="1" s="1"/>
  <c r="O26" i="1" s="1"/>
  <c r="J2" i="1"/>
  <c r="N2" i="1"/>
  <c r="O11" i="1" l="1"/>
  <c r="T11" i="1" s="1"/>
  <c r="X11" i="1" s="1"/>
  <c r="Y11" i="1" s="1"/>
  <c r="AC11" i="1" s="1"/>
  <c r="AD11" i="1" s="1"/>
  <c r="O10" i="1"/>
  <c r="T10" i="1" s="1"/>
  <c r="X10" i="1" s="1"/>
  <c r="Y10" i="1" s="1"/>
  <c r="AC10" i="1" s="1"/>
  <c r="AD10" i="1" s="1"/>
  <c r="O9" i="1"/>
  <c r="T9" i="1" s="1"/>
  <c r="X9" i="1" s="1"/>
  <c r="Y9" i="1" s="1"/>
  <c r="AC9" i="1" s="1"/>
  <c r="AD9" i="1" s="1"/>
  <c r="S8" i="1"/>
  <c r="T8" i="1" s="1"/>
  <c r="X8" i="1" s="1"/>
  <c r="Y8" i="1" s="1"/>
  <c r="AC8" i="1" s="1"/>
  <c r="AD8" i="1" s="1"/>
  <c r="O7" i="1"/>
  <c r="T7" i="1" s="1"/>
  <c r="X7" i="1" s="1"/>
  <c r="Y7" i="1" s="1"/>
  <c r="AC7" i="1" s="1"/>
  <c r="AD7" i="1" s="1"/>
  <c r="O3" i="1"/>
  <c r="S3" i="1" s="1"/>
  <c r="T3" i="1" s="1"/>
  <c r="X3" i="1" s="1"/>
  <c r="Y3" i="1" s="1"/>
  <c r="AC3" i="1" s="1"/>
  <c r="AD3" i="1" s="1"/>
  <c r="T26" i="1"/>
  <c r="X26" i="1" s="1"/>
  <c r="Y26" i="1" s="1"/>
  <c r="AC26" i="1" s="1"/>
  <c r="AD26" i="1" s="1"/>
  <c r="T31" i="1"/>
  <c r="X31" i="1" s="1"/>
  <c r="Y31" i="1" s="1"/>
  <c r="AC31" i="1" s="1"/>
  <c r="AD31" i="1" s="1"/>
  <c r="T30" i="1"/>
  <c r="X30" i="1" s="1"/>
  <c r="Y30" i="1" s="1"/>
  <c r="AC30" i="1" s="1"/>
  <c r="AD30" i="1" s="1"/>
  <c r="T29" i="1"/>
  <c r="X29" i="1" s="1"/>
  <c r="Y29" i="1" s="1"/>
  <c r="AC29" i="1" s="1"/>
  <c r="AD29" i="1" s="1"/>
  <c r="T28" i="1"/>
  <c r="X28" i="1" s="1"/>
  <c r="Y28" i="1" s="1"/>
  <c r="AC28" i="1" s="1"/>
  <c r="AD28" i="1" s="1"/>
  <c r="T27" i="1"/>
  <c r="X27" i="1" s="1"/>
  <c r="Y27" i="1" s="1"/>
  <c r="AC27" i="1" s="1"/>
  <c r="AD27" i="1" s="1"/>
  <c r="T18" i="1"/>
  <c r="X18" i="1" s="1"/>
  <c r="Y18" i="1" s="1"/>
  <c r="AC18" i="1" s="1"/>
  <c r="AD18" i="1" s="1"/>
  <c r="T6" i="1"/>
  <c r="X6" i="1" s="1"/>
  <c r="Y6" i="1" s="1"/>
  <c r="AC6" i="1" s="1"/>
  <c r="AD6" i="1" s="1"/>
  <c r="T17" i="1"/>
  <c r="X17" i="1" s="1"/>
  <c r="Y17" i="1" s="1"/>
  <c r="AC17" i="1" s="1"/>
  <c r="AD17" i="1" s="1"/>
  <c r="T15" i="1"/>
  <c r="X15" i="1" s="1"/>
  <c r="Y15" i="1" s="1"/>
  <c r="AC15" i="1" s="1"/>
  <c r="AD15" i="1" s="1"/>
  <c r="T14" i="1"/>
  <c r="X14" i="1" s="1"/>
  <c r="Y14" i="1" s="1"/>
  <c r="AC14" i="1" s="1"/>
  <c r="AD14" i="1" s="1"/>
  <c r="T16" i="1"/>
  <c r="X16" i="1" s="1"/>
  <c r="Y16" i="1" s="1"/>
  <c r="AC16" i="1" s="1"/>
  <c r="AD16" i="1" s="1"/>
  <c r="T5" i="1"/>
  <c r="X5" i="1" s="1"/>
  <c r="Y5" i="1" s="1"/>
  <c r="AC5" i="1" s="1"/>
  <c r="AD5" i="1" s="1"/>
  <c r="T13" i="1"/>
  <c r="X13" i="1" s="1"/>
  <c r="Y13" i="1" s="1"/>
  <c r="AC13" i="1" s="1"/>
  <c r="AD13" i="1" s="1"/>
  <c r="T12" i="1"/>
  <c r="X12" i="1" s="1"/>
  <c r="Y12" i="1" s="1"/>
  <c r="AC12" i="1" s="1"/>
  <c r="AD12" i="1" s="1"/>
  <c r="T4" i="1"/>
  <c r="X4" i="1" s="1"/>
  <c r="Y4" i="1" s="1"/>
  <c r="AC4" i="1" s="1"/>
  <c r="AD4" i="1" s="1"/>
  <c r="T19" i="1"/>
  <c r="X19" i="1" s="1"/>
  <c r="Y19" i="1" s="1"/>
  <c r="AC19" i="1" s="1"/>
  <c r="AD19" i="1" s="1"/>
  <c r="T22" i="1"/>
  <c r="X22" i="1" s="1"/>
  <c r="Y22" i="1" s="1"/>
  <c r="AC22" i="1" s="1"/>
  <c r="AD22" i="1" s="1"/>
  <c r="T25" i="1"/>
  <c r="X25" i="1" s="1"/>
  <c r="Y25" i="1" s="1"/>
  <c r="AC25" i="1" s="1"/>
  <c r="AD25" i="1" s="1"/>
  <c r="T24" i="1"/>
  <c r="X24" i="1" s="1"/>
  <c r="Y24" i="1" s="1"/>
  <c r="AC24" i="1" s="1"/>
  <c r="AD24" i="1" s="1"/>
  <c r="T23" i="1"/>
  <c r="X23" i="1" s="1"/>
  <c r="Y23" i="1" s="1"/>
  <c r="AC23" i="1" s="1"/>
  <c r="AD23" i="1" s="1"/>
  <c r="T21" i="1"/>
  <c r="X21" i="1" s="1"/>
  <c r="Y21" i="1" s="1"/>
  <c r="AC21" i="1" s="1"/>
  <c r="AD21" i="1" s="1"/>
  <c r="T20" i="1"/>
  <c r="X20" i="1" s="1"/>
  <c r="Y20" i="1" s="1"/>
  <c r="AC20" i="1" s="1"/>
  <c r="AD20" i="1" s="1"/>
  <c r="T2" i="1" l="1"/>
  <c r="X2" i="1" s="1"/>
  <c r="Y2" i="1" s="1"/>
  <c r="AC2" i="1" s="1"/>
  <c r="AD2" i="1" s="1"/>
</calcChain>
</file>

<file path=xl/sharedStrings.xml><?xml version="1.0" encoding="utf-8"?>
<sst xmlns="http://schemas.openxmlformats.org/spreadsheetml/2006/main" count="69" uniqueCount="69">
  <si>
    <t>항목 (Item)</t>
  </si>
  <si>
    <t>제작 기간 (Weeks)</t>
  </si>
  <si>
    <t>가중치 (Weight)</t>
  </si>
  <si>
    <t>전월 계획 (Plan Prev)</t>
  </si>
  <si>
    <t>전월 실적 (Actual Prev)</t>
  </si>
  <si>
    <t>금월 계획 (Plan Curr)</t>
  </si>
  <si>
    <t>금월 실적 (Actual Curr)</t>
  </si>
  <si>
    <t>구매 계획 시작</t>
  </si>
  <si>
    <t>구매 계획 종료</t>
  </si>
  <si>
    <t>구매 실적 시작</t>
  </si>
  <si>
    <t>구매 실적 종료</t>
  </si>
  <si>
    <t>설계 계획 시작</t>
  </si>
  <si>
    <t>설계 계획 종료</t>
  </si>
  <si>
    <t>설계 실적 시작</t>
  </si>
  <si>
    <t>설계 실적 종료</t>
  </si>
  <si>
    <t>제작 계획 시작</t>
  </si>
  <si>
    <t>제작 계획 종료</t>
  </si>
  <si>
    <t>제작 실적 시작</t>
  </si>
  <si>
    <t>제작 실적 종료</t>
  </si>
  <si>
    <t>검사 계획 시작</t>
  </si>
  <si>
    <t>검사 계획 종료</t>
  </si>
  <si>
    <t>검사 실적 시작</t>
  </si>
  <si>
    <t>검사 실적 종료</t>
  </si>
  <si>
    <t>납품 계획 시작</t>
  </si>
  <si>
    <t>납품 계획 종료</t>
  </si>
  <si>
    <t>납품 실적 시작</t>
  </si>
  <si>
    <t>납품 실적 종료</t>
  </si>
  <si>
    <t>월간 진도 (Monthly Progress)</t>
  </si>
  <si>
    <t>Catalyst</t>
  </si>
  <si>
    <t>Dilution Tank</t>
  </si>
  <si>
    <t>Ammonia Tank</t>
  </si>
  <si>
    <t>Vaporizer</t>
  </si>
  <si>
    <t>Ammonia Flow Control Unit Skid</t>
  </si>
  <si>
    <t>Manual Valve</t>
  </si>
  <si>
    <t>PRV &amp; PSV</t>
  </si>
  <si>
    <t>Ystrainer</t>
  </si>
  <si>
    <t>Instrument</t>
  </si>
  <si>
    <t>Control Valve &amp; Damper</t>
  </si>
  <si>
    <t>Analyzer</t>
  </si>
  <si>
    <t>Header &amp; Manifold</t>
  </si>
  <si>
    <t>Piping Spool</t>
  </si>
  <si>
    <t>Pipe Support</t>
  </si>
  <si>
    <t>Raw Material</t>
  </si>
  <si>
    <t>Panel(MCC, LCP, E.H.T, Chemical)</t>
  </si>
  <si>
    <t>Hook Up Material</t>
  </si>
  <si>
    <t>Cable</t>
  </si>
  <si>
    <t>Cable Tray</t>
  </si>
  <si>
    <t>Lighting System</t>
  </si>
  <si>
    <t>Breather Valve</t>
  </si>
  <si>
    <t>Manual Damper</t>
  </si>
  <si>
    <t>Expansion Joint</t>
  </si>
  <si>
    <t>ProjectName</t>
  </si>
  <si>
    <t>StartDate</t>
  </si>
  <si>
    <t>DeliveryDate</t>
  </si>
  <si>
    <t>수원CHP</t>
  </si>
  <si>
    <t>Fan(Hot Gas_Cooling Air)</t>
    <phoneticPr fontId="1" type="noConversion"/>
  </si>
  <si>
    <t>Ammonia_RA Supply Pump</t>
    <phoneticPr fontId="1" type="noConversion"/>
  </si>
  <si>
    <t>Insulation</t>
    <phoneticPr fontId="1" type="noConversion"/>
  </si>
  <si>
    <t>Atomizing Nozzle</t>
    <phoneticPr fontId="1" type="noConversion"/>
  </si>
  <si>
    <t>금액 (Amount)</t>
  </si>
  <si>
    <t>Electric Heater</t>
    <phoneticPr fontId="1" type="noConversion"/>
  </si>
  <si>
    <t>Eye Shower</t>
    <phoneticPr fontId="1" type="noConversion"/>
  </si>
  <si>
    <t>Ammonia Injection Grid</t>
    <phoneticPr fontId="1" type="noConversion"/>
  </si>
  <si>
    <t>Catalyst Structure</t>
    <phoneticPr fontId="1" type="noConversion"/>
  </si>
  <si>
    <t>구매 진행률 (%)</t>
    <phoneticPr fontId="1" type="noConversion"/>
  </si>
  <si>
    <t>설계 진행률 (%)</t>
    <phoneticPr fontId="1" type="noConversion"/>
  </si>
  <si>
    <t>제작 진행률 (%)</t>
    <phoneticPr fontId="1" type="noConversion"/>
  </si>
  <si>
    <t>검사 진행률 (%)</t>
    <phoneticPr fontId="1" type="noConversion"/>
  </si>
  <si>
    <t>납품 진행률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</si>
</sst>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176" fontId="5" fillId="0" borderId="0" xfId="0" applyNumberFormat="1" applyFont="1"/>
    <xf numFmtId="176" fontId="3" fillId="2" borderId="2" xfId="0" applyNumberFormat="1" applyFont="1" applyFill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176" fontId="3" fillId="3" borderId="3" xfId="0" applyNumberFormat="1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176" fontId="3" fillId="3" borderId="2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"/>
  <sheetViews>
    <sheetView tabSelected="1"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AB23" sqref="AB23"/>
    </sheetView>
  </sheetViews>
  <sheetFormatPr defaultRowHeight="13.2" x14ac:dyDescent="0.4"/>
  <cols>
    <col min="1" max="1" width="27.59765625" style="3" customWidth="1"/>
    <col min="2" max="2" width="7.796875" style="3" customWidth="1"/>
    <col min="3" max="3" width="8.8984375" style="3" bestFit="1" customWidth="1"/>
    <col min="4" max="8" width="8.8984375" style="3" customWidth="1"/>
    <col min="9" max="33" width="10.8984375" style="3" customWidth="1"/>
    <col min="34" max="34" width="8.8984375" style="3" bestFit="1" customWidth="1"/>
    <col min="35" max="16384" width="8.796875" style="3"/>
  </cols>
  <sheetData>
    <row r="1" spans="1:34" s="2" customFormat="1" ht="47.4" customHeight="1" x14ac:dyDescent="0.4">
      <c r="A1" s="1" t="s">
        <v>0</v>
      </c>
      <c r="B1" s="1" t="s">
        <v>59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64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65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66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67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68</v>
      </c>
      <c r="AG1" s="1" t="s">
        <v>26</v>
      </c>
      <c r="AH1" s="1" t="s">
        <v>27</v>
      </c>
    </row>
    <row r="2" spans="1:34" x14ac:dyDescent="0.3">
      <c r="A2" s="4" t="s">
        <v>62</v>
      </c>
      <c r="B2" s="4"/>
      <c r="C2" s="5">
        <v>10</v>
      </c>
      <c r="D2" s="5">
        <v>3</v>
      </c>
      <c r="E2" s="5">
        <v>0</v>
      </c>
      <c r="F2" s="5">
        <v>0</v>
      </c>
      <c r="G2" s="5">
        <v>0</v>
      </c>
      <c r="H2" s="5">
        <v>0</v>
      </c>
      <c r="I2" s="19">
        <v>46174</v>
      </c>
      <c r="J2" s="6">
        <f>I2+14</f>
        <v>46188</v>
      </c>
      <c r="K2" s="7">
        <v>46113</v>
      </c>
      <c r="L2" s="23">
        <v>100</v>
      </c>
      <c r="M2" s="7">
        <v>46127</v>
      </c>
      <c r="N2" s="6">
        <f>J2+3</f>
        <v>46191</v>
      </c>
      <c r="O2" s="6">
        <f>N2+120</f>
        <v>46311</v>
      </c>
      <c r="P2" s="7">
        <v>45989</v>
      </c>
      <c r="Q2" s="23">
        <v>50</v>
      </c>
      <c r="R2" s="7"/>
      <c r="S2" s="6">
        <f>O2+1</f>
        <v>46312</v>
      </c>
      <c r="T2" s="6">
        <f>S2+C2*7</f>
        <v>46382</v>
      </c>
      <c r="U2" s="5"/>
      <c r="V2" s="23">
        <v>0</v>
      </c>
      <c r="W2" s="5"/>
      <c r="X2" s="6">
        <f>T2+1</f>
        <v>46383</v>
      </c>
      <c r="Y2" s="6">
        <f>X2+14</f>
        <v>46397</v>
      </c>
      <c r="Z2" s="5"/>
      <c r="AA2" s="23">
        <v>0</v>
      </c>
      <c r="AB2" s="5"/>
      <c r="AC2" s="6">
        <f>Y2+7</f>
        <v>46404</v>
      </c>
      <c r="AD2" s="26">
        <f>AC2+7</f>
        <v>46411</v>
      </c>
      <c r="AE2" s="5"/>
      <c r="AF2" s="23">
        <v>0</v>
      </c>
      <c r="AG2" s="5"/>
      <c r="AH2" s="5">
        <v>0</v>
      </c>
    </row>
    <row r="3" spans="1:34" x14ac:dyDescent="0.3">
      <c r="A3" s="8" t="s">
        <v>28</v>
      </c>
      <c r="B3" s="8"/>
      <c r="C3" s="9">
        <v>54</v>
      </c>
      <c r="D3" s="9">
        <v>38</v>
      </c>
      <c r="E3" s="9">
        <v>0</v>
      </c>
      <c r="F3" s="9">
        <v>0</v>
      </c>
      <c r="G3" s="9">
        <v>0</v>
      </c>
      <c r="H3" s="9">
        <v>0</v>
      </c>
      <c r="I3" s="20">
        <v>46174</v>
      </c>
      <c r="J3" s="10">
        <f>I3+60</f>
        <v>46234</v>
      </c>
      <c r="K3" s="11">
        <v>46045</v>
      </c>
      <c r="L3" s="24">
        <v>100</v>
      </c>
      <c r="M3" s="11">
        <v>46090</v>
      </c>
      <c r="N3" s="10">
        <f t="shared" ref="N3:N31" si="0">J3+3</f>
        <v>46237</v>
      </c>
      <c r="O3" s="10">
        <f t="shared" ref="O2:O7" si="1">N3+180</f>
        <v>46417</v>
      </c>
      <c r="P3" s="11">
        <v>46091</v>
      </c>
      <c r="Q3" s="24">
        <v>50</v>
      </c>
      <c r="R3" s="9"/>
      <c r="S3" s="10">
        <f>O3+30</f>
        <v>46447</v>
      </c>
      <c r="T3" s="10">
        <f>S3+C3*7</f>
        <v>46825</v>
      </c>
      <c r="U3" s="9"/>
      <c r="V3" s="24">
        <v>0</v>
      </c>
      <c r="W3" s="9"/>
      <c r="X3" s="10">
        <f t="shared" ref="X3:X30" si="2">T3+1</f>
        <v>46826</v>
      </c>
      <c r="Y3" s="10">
        <f t="shared" ref="Y3:Y30" si="3">X3+14</f>
        <v>46840</v>
      </c>
      <c r="Z3" s="9"/>
      <c r="AA3" s="24">
        <v>0</v>
      </c>
      <c r="AB3" s="9"/>
      <c r="AC3" s="10">
        <f t="shared" ref="AC3:AC30" si="4">Y3+7</f>
        <v>46847</v>
      </c>
      <c r="AD3" s="22">
        <f>AC3+60</f>
        <v>46907</v>
      </c>
      <c r="AE3" s="9"/>
      <c r="AF3" s="24">
        <v>0</v>
      </c>
      <c r="AG3" s="9"/>
      <c r="AH3" s="9">
        <v>0</v>
      </c>
    </row>
    <row r="4" spans="1:34" x14ac:dyDescent="0.3">
      <c r="A4" s="8" t="s">
        <v>29</v>
      </c>
      <c r="B4" s="8"/>
      <c r="C4" s="9">
        <v>16</v>
      </c>
      <c r="D4" s="9">
        <v>0.6</v>
      </c>
      <c r="E4" s="9">
        <v>0</v>
      </c>
      <c r="F4" s="9">
        <v>0</v>
      </c>
      <c r="G4" s="9">
        <v>0</v>
      </c>
      <c r="H4" s="9">
        <v>0</v>
      </c>
      <c r="I4" s="20">
        <v>46174</v>
      </c>
      <c r="J4" s="10">
        <f t="shared" ref="J4:J31" si="5">I4+14</f>
        <v>46188</v>
      </c>
      <c r="K4" s="11">
        <v>45994</v>
      </c>
      <c r="L4" s="24">
        <v>100</v>
      </c>
      <c r="M4" s="11">
        <v>46041</v>
      </c>
      <c r="N4" s="10">
        <f t="shared" si="0"/>
        <v>46191</v>
      </c>
      <c r="O4" s="10">
        <f t="shared" si="1"/>
        <v>46371</v>
      </c>
      <c r="P4" s="11">
        <v>46041</v>
      </c>
      <c r="Q4" s="24">
        <v>50</v>
      </c>
      <c r="R4" s="9"/>
      <c r="S4" s="10">
        <f>O4+30</f>
        <v>46401</v>
      </c>
      <c r="T4" s="10">
        <f t="shared" ref="T4:T30" si="6">S4+C4*7</f>
        <v>46513</v>
      </c>
      <c r="U4" s="9"/>
      <c r="V4" s="24">
        <v>0</v>
      </c>
      <c r="W4" s="9"/>
      <c r="X4" s="10">
        <f t="shared" si="2"/>
        <v>46514</v>
      </c>
      <c r="Y4" s="10">
        <f t="shared" si="3"/>
        <v>46528</v>
      </c>
      <c r="Z4" s="9"/>
      <c r="AA4" s="24">
        <v>0</v>
      </c>
      <c r="AB4" s="9"/>
      <c r="AC4" s="10">
        <f t="shared" si="4"/>
        <v>46535</v>
      </c>
      <c r="AD4" s="10">
        <f t="shared" ref="AD4:AD30" si="7">AC4+7</f>
        <v>46542</v>
      </c>
      <c r="AE4" s="9"/>
      <c r="AF4" s="24">
        <v>0</v>
      </c>
      <c r="AG4" s="9"/>
      <c r="AH4" s="9">
        <v>0</v>
      </c>
    </row>
    <row r="5" spans="1:34" x14ac:dyDescent="0.3">
      <c r="A5" s="8" t="s">
        <v>30</v>
      </c>
      <c r="B5" s="8"/>
      <c r="C5" s="9">
        <v>20</v>
      </c>
      <c r="D5" s="9">
        <v>3.5</v>
      </c>
      <c r="E5" s="9">
        <v>0</v>
      </c>
      <c r="F5" s="9">
        <v>0</v>
      </c>
      <c r="G5" s="9">
        <v>0</v>
      </c>
      <c r="H5" s="9">
        <v>0</v>
      </c>
      <c r="I5" s="20">
        <v>46174</v>
      </c>
      <c r="J5" s="10">
        <f t="shared" si="5"/>
        <v>46188</v>
      </c>
      <c r="K5" s="11">
        <v>45994</v>
      </c>
      <c r="L5" s="24">
        <v>100</v>
      </c>
      <c r="M5" s="11">
        <v>46041</v>
      </c>
      <c r="N5" s="10">
        <f t="shared" si="0"/>
        <v>46191</v>
      </c>
      <c r="O5" s="10">
        <f t="shared" si="1"/>
        <v>46371</v>
      </c>
      <c r="P5" s="11">
        <v>46041</v>
      </c>
      <c r="Q5" s="24">
        <v>50</v>
      </c>
      <c r="R5" s="9"/>
      <c r="S5" s="10">
        <f>O5+15</f>
        <v>46386</v>
      </c>
      <c r="T5" s="10">
        <f t="shared" si="6"/>
        <v>46526</v>
      </c>
      <c r="U5" s="9"/>
      <c r="V5" s="24">
        <v>0</v>
      </c>
      <c r="W5" s="9"/>
      <c r="X5" s="10">
        <f t="shared" si="2"/>
        <v>46527</v>
      </c>
      <c r="Y5" s="10">
        <f t="shared" si="3"/>
        <v>46541</v>
      </c>
      <c r="Z5" s="9"/>
      <c r="AA5" s="24">
        <v>0</v>
      </c>
      <c r="AB5" s="9"/>
      <c r="AC5" s="10">
        <f t="shared" si="4"/>
        <v>46548</v>
      </c>
      <c r="AD5" s="10">
        <f t="shared" si="7"/>
        <v>46555</v>
      </c>
      <c r="AE5" s="9"/>
      <c r="AF5" s="24">
        <v>0</v>
      </c>
      <c r="AG5" s="9"/>
      <c r="AH5" s="9">
        <v>0</v>
      </c>
    </row>
    <row r="6" spans="1:34" x14ac:dyDescent="0.3">
      <c r="A6" s="8" t="s">
        <v>31</v>
      </c>
      <c r="B6" s="8"/>
      <c r="C6" s="9">
        <v>14</v>
      </c>
      <c r="D6" s="9">
        <v>1</v>
      </c>
      <c r="E6" s="9">
        <v>0</v>
      </c>
      <c r="F6" s="9">
        <v>0</v>
      </c>
      <c r="G6" s="9">
        <v>0</v>
      </c>
      <c r="H6" s="9">
        <v>0</v>
      </c>
      <c r="I6" s="20">
        <v>46174</v>
      </c>
      <c r="J6" s="10">
        <f t="shared" si="5"/>
        <v>46188</v>
      </c>
      <c r="K6" s="11">
        <v>45994</v>
      </c>
      <c r="L6" s="24">
        <v>100</v>
      </c>
      <c r="M6" s="11">
        <v>46041</v>
      </c>
      <c r="N6" s="10">
        <f t="shared" si="0"/>
        <v>46191</v>
      </c>
      <c r="O6" s="10">
        <f t="shared" si="1"/>
        <v>46371</v>
      </c>
      <c r="P6" s="11">
        <v>46041</v>
      </c>
      <c r="Q6" s="24">
        <v>50</v>
      </c>
      <c r="R6" s="9"/>
      <c r="S6" s="10">
        <f>O6+30</f>
        <v>46401</v>
      </c>
      <c r="T6" s="10">
        <f t="shared" si="6"/>
        <v>46499</v>
      </c>
      <c r="U6" s="9"/>
      <c r="V6" s="24">
        <v>0</v>
      </c>
      <c r="W6" s="9"/>
      <c r="X6" s="10">
        <f t="shared" si="2"/>
        <v>46500</v>
      </c>
      <c r="Y6" s="10">
        <f t="shared" si="3"/>
        <v>46514</v>
      </c>
      <c r="Z6" s="9"/>
      <c r="AA6" s="24">
        <v>0</v>
      </c>
      <c r="AB6" s="9"/>
      <c r="AC6" s="10">
        <f t="shared" si="4"/>
        <v>46521</v>
      </c>
      <c r="AD6" s="10">
        <f t="shared" si="7"/>
        <v>46528</v>
      </c>
      <c r="AE6" s="9"/>
      <c r="AF6" s="24">
        <v>0</v>
      </c>
      <c r="AG6" s="9"/>
      <c r="AH6" s="9">
        <v>0</v>
      </c>
    </row>
    <row r="7" spans="1:34" x14ac:dyDescent="0.3">
      <c r="A7" s="8" t="s">
        <v>56</v>
      </c>
      <c r="B7" s="8"/>
      <c r="C7" s="9">
        <v>20</v>
      </c>
      <c r="D7" s="9">
        <v>1.5</v>
      </c>
      <c r="E7" s="9">
        <v>0</v>
      </c>
      <c r="F7" s="9">
        <v>0</v>
      </c>
      <c r="G7" s="9">
        <v>0</v>
      </c>
      <c r="H7" s="9">
        <v>0</v>
      </c>
      <c r="I7" s="20">
        <v>46174</v>
      </c>
      <c r="J7" s="10">
        <f t="shared" si="5"/>
        <v>46188</v>
      </c>
      <c r="K7" s="11">
        <v>46006</v>
      </c>
      <c r="L7" s="24">
        <v>100</v>
      </c>
      <c r="M7" s="11">
        <v>46010</v>
      </c>
      <c r="N7" s="10">
        <f t="shared" si="0"/>
        <v>46191</v>
      </c>
      <c r="O7" s="10">
        <f t="shared" si="1"/>
        <v>46371</v>
      </c>
      <c r="P7" s="11">
        <f>M7+3</f>
        <v>46013</v>
      </c>
      <c r="Q7" s="24">
        <v>80</v>
      </c>
      <c r="R7" s="11"/>
      <c r="S7" s="10">
        <f>O7+15</f>
        <v>46386</v>
      </c>
      <c r="T7" s="10">
        <f t="shared" si="6"/>
        <v>46526</v>
      </c>
      <c r="U7" s="9"/>
      <c r="V7" s="24">
        <v>0</v>
      </c>
      <c r="W7" s="9"/>
      <c r="X7" s="10">
        <f t="shared" si="2"/>
        <v>46527</v>
      </c>
      <c r="Y7" s="10">
        <f t="shared" si="3"/>
        <v>46541</v>
      </c>
      <c r="Z7" s="9"/>
      <c r="AA7" s="24">
        <v>0</v>
      </c>
      <c r="AB7" s="9"/>
      <c r="AC7" s="10">
        <f t="shared" si="4"/>
        <v>46548</v>
      </c>
      <c r="AD7" s="10">
        <f t="shared" si="7"/>
        <v>46555</v>
      </c>
      <c r="AE7" s="9"/>
      <c r="AF7" s="24">
        <v>0</v>
      </c>
      <c r="AG7" s="9"/>
      <c r="AH7" s="9">
        <v>0</v>
      </c>
    </row>
    <row r="8" spans="1:34" x14ac:dyDescent="0.3">
      <c r="A8" s="8" t="s">
        <v>55</v>
      </c>
      <c r="B8" s="8"/>
      <c r="C8" s="9">
        <v>20</v>
      </c>
      <c r="D8" s="9">
        <v>2.8</v>
      </c>
      <c r="E8" s="9">
        <v>0</v>
      </c>
      <c r="F8" s="9">
        <v>0</v>
      </c>
      <c r="G8" s="9">
        <v>0</v>
      </c>
      <c r="H8" s="9">
        <v>0</v>
      </c>
      <c r="I8" s="20">
        <v>46174</v>
      </c>
      <c r="J8" s="10">
        <f t="shared" si="5"/>
        <v>46188</v>
      </c>
      <c r="K8" s="11">
        <v>46006</v>
      </c>
      <c r="L8" s="24">
        <v>100</v>
      </c>
      <c r="M8" s="11">
        <v>46010</v>
      </c>
      <c r="N8" s="10">
        <f t="shared" si="0"/>
        <v>46191</v>
      </c>
      <c r="O8" s="10">
        <f>N8+120</f>
        <v>46311</v>
      </c>
      <c r="P8" s="11">
        <f>M8+3</f>
        <v>46013</v>
      </c>
      <c r="Q8" s="24">
        <v>80</v>
      </c>
      <c r="R8" s="11"/>
      <c r="S8" s="10">
        <f>O8+60</f>
        <v>46371</v>
      </c>
      <c r="T8" s="10">
        <f t="shared" si="6"/>
        <v>46511</v>
      </c>
      <c r="U8" s="9"/>
      <c r="V8" s="24">
        <v>0</v>
      </c>
      <c r="W8" s="9"/>
      <c r="X8" s="10">
        <f t="shared" si="2"/>
        <v>46512</v>
      </c>
      <c r="Y8" s="10">
        <f t="shared" si="3"/>
        <v>46526</v>
      </c>
      <c r="Z8" s="9"/>
      <c r="AA8" s="24">
        <v>0</v>
      </c>
      <c r="AB8" s="9"/>
      <c r="AC8" s="10">
        <f t="shared" si="4"/>
        <v>46533</v>
      </c>
      <c r="AD8" s="10">
        <f t="shared" si="7"/>
        <v>46540</v>
      </c>
      <c r="AE8" s="9"/>
      <c r="AF8" s="24">
        <v>0</v>
      </c>
      <c r="AG8" s="9"/>
      <c r="AH8" s="9">
        <v>0</v>
      </c>
    </row>
    <row r="9" spans="1:34" x14ac:dyDescent="0.3">
      <c r="A9" s="8" t="s">
        <v>32</v>
      </c>
      <c r="B9" s="8"/>
      <c r="C9" s="9">
        <v>16</v>
      </c>
      <c r="D9" s="9">
        <v>1.5</v>
      </c>
      <c r="E9" s="9">
        <v>0</v>
      </c>
      <c r="F9" s="9">
        <v>0</v>
      </c>
      <c r="G9" s="9">
        <v>0</v>
      </c>
      <c r="H9" s="9">
        <v>0</v>
      </c>
      <c r="I9" s="20">
        <v>46174</v>
      </c>
      <c r="J9" s="10">
        <f t="shared" si="5"/>
        <v>46188</v>
      </c>
      <c r="K9" s="11">
        <v>46055</v>
      </c>
      <c r="L9" s="24">
        <v>100</v>
      </c>
      <c r="M9" s="11">
        <v>46127</v>
      </c>
      <c r="N9" s="10">
        <f t="shared" si="0"/>
        <v>46191</v>
      </c>
      <c r="O9" s="10">
        <f t="shared" ref="O9:O14" si="8">N9+180</f>
        <v>46371</v>
      </c>
      <c r="P9" s="11">
        <v>45989</v>
      </c>
      <c r="Q9" s="24">
        <v>50</v>
      </c>
      <c r="R9" s="9"/>
      <c r="S9" s="10">
        <f>O9+30</f>
        <v>46401</v>
      </c>
      <c r="T9" s="10">
        <f t="shared" si="6"/>
        <v>46513</v>
      </c>
      <c r="U9" s="9"/>
      <c r="V9" s="24">
        <v>0</v>
      </c>
      <c r="W9" s="9"/>
      <c r="X9" s="10">
        <f t="shared" si="2"/>
        <v>46514</v>
      </c>
      <c r="Y9" s="10">
        <f t="shared" si="3"/>
        <v>46528</v>
      </c>
      <c r="Z9" s="9"/>
      <c r="AA9" s="24">
        <v>0</v>
      </c>
      <c r="AB9" s="9"/>
      <c r="AC9" s="10">
        <f t="shared" si="4"/>
        <v>46535</v>
      </c>
      <c r="AD9" s="10">
        <f t="shared" si="7"/>
        <v>46542</v>
      </c>
      <c r="AE9" s="9"/>
      <c r="AF9" s="24">
        <v>0</v>
      </c>
      <c r="AG9" s="9"/>
      <c r="AH9" s="9">
        <v>0</v>
      </c>
    </row>
    <row r="10" spans="1:34" x14ac:dyDescent="0.3">
      <c r="A10" s="8" t="s">
        <v>33</v>
      </c>
      <c r="B10" s="8"/>
      <c r="C10" s="9">
        <v>16</v>
      </c>
      <c r="D10" s="9">
        <v>2.5</v>
      </c>
      <c r="E10" s="9">
        <v>0</v>
      </c>
      <c r="F10" s="9">
        <v>0</v>
      </c>
      <c r="G10" s="9">
        <v>0</v>
      </c>
      <c r="H10" s="9">
        <v>0</v>
      </c>
      <c r="I10" s="20">
        <v>46174</v>
      </c>
      <c r="J10" s="10">
        <f t="shared" si="5"/>
        <v>46188</v>
      </c>
      <c r="K10" s="11">
        <v>46118</v>
      </c>
      <c r="L10" s="24">
        <v>50</v>
      </c>
      <c r="M10" s="11">
        <v>46127</v>
      </c>
      <c r="N10" s="10">
        <f t="shared" si="0"/>
        <v>46191</v>
      </c>
      <c r="O10" s="10">
        <f t="shared" si="8"/>
        <v>46371</v>
      </c>
      <c r="P10" s="9"/>
      <c r="Q10" s="24">
        <v>0</v>
      </c>
      <c r="R10" s="9"/>
      <c r="S10" s="10">
        <f>O10+30</f>
        <v>46401</v>
      </c>
      <c r="T10" s="10">
        <f t="shared" si="6"/>
        <v>46513</v>
      </c>
      <c r="U10" s="9"/>
      <c r="V10" s="24">
        <v>0</v>
      </c>
      <c r="W10" s="9"/>
      <c r="X10" s="10">
        <f t="shared" si="2"/>
        <v>46514</v>
      </c>
      <c r="Y10" s="10">
        <f t="shared" si="3"/>
        <v>46528</v>
      </c>
      <c r="Z10" s="9"/>
      <c r="AA10" s="24">
        <v>0</v>
      </c>
      <c r="AB10" s="9"/>
      <c r="AC10" s="10">
        <f t="shared" si="4"/>
        <v>46535</v>
      </c>
      <c r="AD10" s="10">
        <f t="shared" si="7"/>
        <v>46542</v>
      </c>
      <c r="AE10" s="9"/>
      <c r="AF10" s="24">
        <v>0</v>
      </c>
      <c r="AG10" s="9"/>
      <c r="AH10" s="9">
        <v>0</v>
      </c>
    </row>
    <row r="11" spans="1:34" x14ac:dyDescent="0.3">
      <c r="A11" s="8" t="s">
        <v>34</v>
      </c>
      <c r="B11" s="8"/>
      <c r="C11" s="9">
        <v>16</v>
      </c>
      <c r="D11" s="9">
        <v>1.5</v>
      </c>
      <c r="E11" s="9">
        <v>0</v>
      </c>
      <c r="F11" s="9">
        <v>0</v>
      </c>
      <c r="G11" s="9">
        <v>0</v>
      </c>
      <c r="H11" s="9">
        <v>0</v>
      </c>
      <c r="I11" s="20">
        <v>46174</v>
      </c>
      <c r="J11" s="10">
        <f t="shared" si="5"/>
        <v>46188</v>
      </c>
      <c r="K11" s="11">
        <v>46118</v>
      </c>
      <c r="L11" s="24">
        <v>50</v>
      </c>
      <c r="M11" s="11">
        <v>46127</v>
      </c>
      <c r="N11" s="10">
        <f t="shared" si="0"/>
        <v>46191</v>
      </c>
      <c r="O11" s="10">
        <f t="shared" si="8"/>
        <v>46371</v>
      </c>
      <c r="P11" s="9"/>
      <c r="Q11" s="24">
        <v>0</v>
      </c>
      <c r="R11" s="9"/>
      <c r="S11" s="10">
        <f>O11+30</f>
        <v>46401</v>
      </c>
      <c r="T11" s="10">
        <f t="shared" si="6"/>
        <v>46513</v>
      </c>
      <c r="U11" s="9"/>
      <c r="V11" s="24">
        <v>0</v>
      </c>
      <c r="W11" s="9"/>
      <c r="X11" s="10">
        <f t="shared" si="2"/>
        <v>46514</v>
      </c>
      <c r="Y11" s="10">
        <f t="shared" si="3"/>
        <v>46528</v>
      </c>
      <c r="Z11" s="9"/>
      <c r="AA11" s="24">
        <v>0</v>
      </c>
      <c r="AB11" s="9"/>
      <c r="AC11" s="10">
        <f t="shared" si="4"/>
        <v>46535</v>
      </c>
      <c r="AD11" s="10">
        <f t="shared" si="7"/>
        <v>46542</v>
      </c>
      <c r="AE11" s="9"/>
      <c r="AF11" s="24">
        <v>0</v>
      </c>
      <c r="AG11" s="9"/>
      <c r="AH11" s="9">
        <v>0</v>
      </c>
    </row>
    <row r="12" spans="1:34" x14ac:dyDescent="0.3">
      <c r="A12" s="8" t="s">
        <v>35</v>
      </c>
      <c r="B12" s="8"/>
      <c r="C12" s="9">
        <v>16</v>
      </c>
      <c r="D12" s="9">
        <v>1.1000000000000001</v>
      </c>
      <c r="E12" s="9">
        <v>0</v>
      </c>
      <c r="F12" s="9">
        <v>0</v>
      </c>
      <c r="G12" s="9">
        <v>0</v>
      </c>
      <c r="H12" s="9">
        <v>0</v>
      </c>
      <c r="I12" s="20">
        <v>46174</v>
      </c>
      <c r="J12" s="10">
        <f t="shared" si="5"/>
        <v>46188</v>
      </c>
      <c r="K12" s="11">
        <v>46118</v>
      </c>
      <c r="L12" s="24">
        <v>50</v>
      </c>
      <c r="M12" s="11">
        <v>46127</v>
      </c>
      <c r="N12" s="10">
        <f t="shared" si="0"/>
        <v>46191</v>
      </c>
      <c r="O12" s="10">
        <f t="shared" si="8"/>
        <v>46371</v>
      </c>
      <c r="P12" s="9"/>
      <c r="Q12" s="24">
        <v>0</v>
      </c>
      <c r="R12" s="9"/>
      <c r="S12" s="10">
        <f>O12+30</f>
        <v>46401</v>
      </c>
      <c r="T12" s="10">
        <f t="shared" si="6"/>
        <v>46513</v>
      </c>
      <c r="U12" s="9"/>
      <c r="V12" s="24">
        <v>0</v>
      </c>
      <c r="W12" s="9"/>
      <c r="X12" s="10">
        <f t="shared" si="2"/>
        <v>46514</v>
      </c>
      <c r="Y12" s="10">
        <f t="shared" si="3"/>
        <v>46528</v>
      </c>
      <c r="Z12" s="9"/>
      <c r="AA12" s="24">
        <v>0</v>
      </c>
      <c r="AB12" s="9"/>
      <c r="AC12" s="10">
        <f t="shared" si="4"/>
        <v>46535</v>
      </c>
      <c r="AD12" s="10">
        <f t="shared" si="7"/>
        <v>46542</v>
      </c>
      <c r="AE12" s="9"/>
      <c r="AF12" s="24">
        <v>0</v>
      </c>
      <c r="AG12" s="9"/>
      <c r="AH12" s="9">
        <v>0</v>
      </c>
    </row>
    <row r="13" spans="1:34" x14ac:dyDescent="0.3">
      <c r="A13" s="8" t="s">
        <v>36</v>
      </c>
      <c r="B13" s="8"/>
      <c r="C13" s="9">
        <v>20</v>
      </c>
      <c r="D13" s="9">
        <v>2.5</v>
      </c>
      <c r="E13" s="9">
        <v>0</v>
      </c>
      <c r="F13" s="9">
        <v>0</v>
      </c>
      <c r="G13" s="9">
        <v>0</v>
      </c>
      <c r="H13" s="9">
        <v>0</v>
      </c>
      <c r="I13" s="20">
        <v>46174</v>
      </c>
      <c r="J13" s="10">
        <f t="shared" si="5"/>
        <v>46188</v>
      </c>
      <c r="K13" s="11">
        <v>46037</v>
      </c>
      <c r="L13" s="24">
        <v>100</v>
      </c>
      <c r="M13" s="11">
        <v>46090</v>
      </c>
      <c r="N13" s="10">
        <f t="shared" si="0"/>
        <v>46191</v>
      </c>
      <c r="O13" s="10">
        <f t="shared" si="8"/>
        <v>46371</v>
      </c>
      <c r="P13" s="11">
        <f>M13+3</f>
        <v>46093</v>
      </c>
      <c r="Q13" s="24">
        <v>20</v>
      </c>
      <c r="R13" s="9"/>
      <c r="S13" s="10">
        <f>O13+15</f>
        <v>46386</v>
      </c>
      <c r="T13" s="10">
        <f t="shared" si="6"/>
        <v>46526</v>
      </c>
      <c r="U13" s="9"/>
      <c r="V13" s="24">
        <v>0</v>
      </c>
      <c r="W13" s="9"/>
      <c r="X13" s="10">
        <f t="shared" si="2"/>
        <v>46527</v>
      </c>
      <c r="Y13" s="10">
        <f t="shared" si="3"/>
        <v>46541</v>
      </c>
      <c r="Z13" s="9"/>
      <c r="AA13" s="24">
        <v>0</v>
      </c>
      <c r="AB13" s="9"/>
      <c r="AC13" s="10">
        <f t="shared" si="4"/>
        <v>46548</v>
      </c>
      <c r="AD13" s="10">
        <f t="shared" si="7"/>
        <v>46555</v>
      </c>
      <c r="AE13" s="9"/>
      <c r="AF13" s="24">
        <v>0</v>
      </c>
      <c r="AG13" s="9"/>
      <c r="AH13" s="9">
        <v>0</v>
      </c>
    </row>
    <row r="14" spans="1:34" x14ac:dyDescent="0.3">
      <c r="A14" s="8" t="s">
        <v>37</v>
      </c>
      <c r="B14" s="8"/>
      <c r="C14" s="9">
        <v>20</v>
      </c>
      <c r="D14" s="9">
        <v>2.1</v>
      </c>
      <c r="E14" s="9">
        <v>0</v>
      </c>
      <c r="F14" s="9">
        <v>0</v>
      </c>
      <c r="G14" s="9">
        <v>0</v>
      </c>
      <c r="H14" s="9">
        <v>0</v>
      </c>
      <c r="I14" s="20">
        <v>46174</v>
      </c>
      <c r="J14" s="10">
        <f t="shared" si="5"/>
        <v>46188</v>
      </c>
      <c r="K14" s="11">
        <v>46037</v>
      </c>
      <c r="L14" s="24">
        <v>100</v>
      </c>
      <c r="M14" s="11">
        <v>46090</v>
      </c>
      <c r="N14" s="10">
        <f t="shared" si="0"/>
        <v>46191</v>
      </c>
      <c r="O14" s="10">
        <f t="shared" si="8"/>
        <v>46371</v>
      </c>
      <c r="P14" s="11">
        <f>M14+3</f>
        <v>46093</v>
      </c>
      <c r="Q14" s="24">
        <v>20</v>
      </c>
      <c r="R14" s="9"/>
      <c r="S14" s="10">
        <f>O14+15</f>
        <v>46386</v>
      </c>
      <c r="T14" s="10">
        <f t="shared" si="6"/>
        <v>46526</v>
      </c>
      <c r="U14" s="9"/>
      <c r="V14" s="24">
        <v>0</v>
      </c>
      <c r="W14" s="9"/>
      <c r="X14" s="10">
        <f t="shared" si="2"/>
        <v>46527</v>
      </c>
      <c r="Y14" s="10">
        <f t="shared" si="3"/>
        <v>46541</v>
      </c>
      <c r="Z14" s="9"/>
      <c r="AA14" s="24">
        <v>0</v>
      </c>
      <c r="AB14" s="9"/>
      <c r="AC14" s="10">
        <f t="shared" si="4"/>
        <v>46548</v>
      </c>
      <c r="AD14" s="10">
        <f t="shared" si="7"/>
        <v>46555</v>
      </c>
      <c r="AE14" s="9"/>
      <c r="AF14" s="24">
        <v>0</v>
      </c>
      <c r="AG14" s="9"/>
      <c r="AH14" s="9">
        <v>0</v>
      </c>
    </row>
    <row r="15" spans="1:34" x14ac:dyDescent="0.3">
      <c r="A15" s="8" t="s">
        <v>38</v>
      </c>
      <c r="B15" s="8"/>
      <c r="C15" s="9">
        <v>28</v>
      </c>
      <c r="D15" s="9">
        <v>12.8</v>
      </c>
      <c r="E15" s="9">
        <v>0</v>
      </c>
      <c r="F15" s="9">
        <v>0</v>
      </c>
      <c r="G15" s="9">
        <v>0</v>
      </c>
      <c r="H15" s="9">
        <v>0</v>
      </c>
      <c r="I15" s="20">
        <v>46174</v>
      </c>
      <c r="J15" s="10">
        <f t="shared" si="5"/>
        <v>46188</v>
      </c>
      <c r="K15" s="11">
        <v>46006</v>
      </c>
      <c r="L15" s="24">
        <v>100</v>
      </c>
      <c r="M15" s="11">
        <v>46010</v>
      </c>
      <c r="N15" s="10">
        <f t="shared" si="0"/>
        <v>46191</v>
      </c>
      <c r="O15" s="10">
        <f>N15+120</f>
        <v>46311</v>
      </c>
      <c r="P15" s="11">
        <f>M15+3</f>
        <v>46013</v>
      </c>
      <c r="Q15" s="24">
        <v>20</v>
      </c>
      <c r="R15" s="9"/>
      <c r="S15" s="10">
        <f>O15+1</f>
        <v>46312</v>
      </c>
      <c r="T15" s="10">
        <f t="shared" si="6"/>
        <v>46508</v>
      </c>
      <c r="U15" s="9"/>
      <c r="V15" s="24">
        <v>0</v>
      </c>
      <c r="W15" s="9"/>
      <c r="X15" s="10">
        <f t="shared" si="2"/>
        <v>46509</v>
      </c>
      <c r="Y15" s="10">
        <f t="shared" si="3"/>
        <v>46523</v>
      </c>
      <c r="Z15" s="9"/>
      <c r="AA15" s="24">
        <v>0</v>
      </c>
      <c r="AB15" s="9"/>
      <c r="AC15" s="10">
        <f t="shared" si="4"/>
        <v>46530</v>
      </c>
      <c r="AD15" s="10">
        <f t="shared" si="7"/>
        <v>46537</v>
      </c>
      <c r="AE15" s="9"/>
      <c r="AF15" s="24">
        <v>0</v>
      </c>
      <c r="AG15" s="9"/>
      <c r="AH15" s="9">
        <v>0</v>
      </c>
    </row>
    <row r="16" spans="1:34" x14ac:dyDescent="0.3">
      <c r="A16" s="8" t="s">
        <v>63</v>
      </c>
      <c r="B16" s="8"/>
      <c r="C16" s="9">
        <v>12</v>
      </c>
      <c r="D16" s="9">
        <v>2.5</v>
      </c>
      <c r="E16" s="9">
        <v>0</v>
      </c>
      <c r="F16" s="9">
        <v>0</v>
      </c>
      <c r="G16" s="9">
        <v>0</v>
      </c>
      <c r="H16" s="9">
        <v>0</v>
      </c>
      <c r="I16" s="20">
        <v>46174</v>
      </c>
      <c r="J16" s="10">
        <f t="shared" si="5"/>
        <v>46188</v>
      </c>
      <c r="K16" s="11">
        <v>46118</v>
      </c>
      <c r="L16" s="24">
        <v>50</v>
      </c>
      <c r="M16" s="11"/>
      <c r="N16" s="10">
        <f t="shared" si="0"/>
        <v>46191</v>
      </c>
      <c r="O16" s="10">
        <f>N16+100</f>
        <v>46291</v>
      </c>
      <c r="P16" s="11">
        <v>46013</v>
      </c>
      <c r="Q16" s="24">
        <v>80</v>
      </c>
      <c r="R16" s="9"/>
      <c r="S16" s="10">
        <f>O16+1</f>
        <v>46292</v>
      </c>
      <c r="T16" s="10">
        <f t="shared" si="6"/>
        <v>46376</v>
      </c>
      <c r="U16" s="9"/>
      <c r="V16" s="24">
        <v>0</v>
      </c>
      <c r="W16" s="9"/>
      <c r="X16" s="10">
        <f t="shared" si="2"/>
        <v>46377</v>
      </c>
      <c r="Y16" s="10">
        <f t="shared" si="3"/>
        <v>46391</v>
      </c>
      <c r="Z16" s="9"/>
      <c r="AA16" s="24">
        <v>0</v>
      </c>
      <c r="AB16" s="9"/>
      <c r="AC16" s="10">
        <f t="shared" si="4"/>
        <v>46398</v>
      </c>
      <c r="AD16" s="22">
        <f t="shared" si="7"/>
        <v>46405</v>
      </c>
      <c r="AE16" s="9"/>
      <c r="AF16" s="24">
        <v>0</v>
      </c>
      <c r="AG16" s="9"/>
      <c r="AH16" s="9">
        <v>0</v>
      </c>
    </row>
    <row r="17" spans="1:34" x14ac:dyDescent="0.3">
      <c r="A17" s="8" t="s">
        <v>39</v>
      </c>
      <c r="B17" s="8"/>
      <c r="C17" s="9">
        <v>12</v>
      </c>
      <c r="D17" s="9">
        <v>2.5</v>
      </c>
      <c r="E17" s="9">
        <v>0</v>
      </c>
      <c r="F17" s="9">
        <v>0</v>
      </c>
      <c r="G17" s="9">
        <v>0</v>
      </c>
      <c r="H17" s="9">
        <v>0</v>
      </c>
      <c r="I17" s="20">
        <v>46174</v>
      </c>
      <c r="J17" s="10">
        <f t="shared" si="5"/>
        <v>46188</v>
      </c>
      <c r="K17" s="11"/>
      <c r="L17" s="24">
        <v>0</v>
      </c>
      <c r="M17" s="9"/>
      <c r="N17" s="10">
        <f t="shared" si="0"/>
        <v>46191</v>
      </c>
      <c r="O17" s="10">
        <f t="shared" ref="O16:O32" si="9">N17+180</f>
        <v>46371</v>
      </c>
      <c r="P17" s="11">
        <v>46113</v>
      </c>
      <c r="Q17" s="24">
        <v>50</v>
      </c>
      <c r="R17" s="9"/>
      <c r="S17" s="10">
        <f>O17+30</f>
        <v>46401</v>
      </c>
      <c r="T17" s="10">
        <f t="shared" si="6"/>
        <v>46485</v>
      </c>
      <c r="U17" s="9"/>
      <c r="V17" s="24">
        <v>0</v>
      </c>
      <c r="W17" s="9"/>
      <c r="X17" s="10">
        <f t="shared" si="2"/>
        <v>46486</v>
      </c>
      <c r="Y17" s="10">
        <f t="shared" si="3"/>
        <v>46500</v>
      </c>
      <c r="Z17" s="9"/>
      <c r="AA17" s="24">
        <v>0</v>
      </c>
      <c r="AB17" s="9"/>
      <c r="AC17" s="10">
        <f t="shared" si="4"/>
        <v>46507</v>
      </c>
      <c r="AD17" s="10">
        <f t="shared" si="7"/>
        <v>46514</v>
      </c>
      <c r="AE17" s="9"/>
      <c r="AF17" s="24">
        <v>0</v>
      </c>
      <c r="AG17" s="9"/>
      <c r="AH17" s="9">
        <v>0</v>
      </c>
    </row>
    <row r="18" spans="1:34" x14ac:dyDescent="0.3">
      <c r="A18" s="8" t="s">
        <v>40</v>
      </c>
      <c r="B18" s="8"/>
      <c r="C18" s="9">
        <v>20</v>
      </c>
      <c r="D18" s="9">
        <v>2</v>
      </c>
      <c r="E18" s="9">
        <v>0</v>
      </c>
      <c r="F18" s="9">
        <v>0</v>
      </c>
      <c r="G18" s="9">
        <v>0</v>
      </c>
      <c r="H18" s="9">
        <v>0</v>
      </c>
      <c r="I18" s="20">
        <v>46174</v>
      </c>
      <c r="J18" s="10">
        <f t="shared" si="5"/>
        <v>46188</v>
      </c>
      <c r="K18" s="11"/>
      <c r="L18" s="24">
        <v>0</v>
      </c>
      <c r="M18" s="9"/>
      <c r="N18" s="10">
        <f t="shared" si="0"/>
        <v>46191</v>
      </c>
      <c r="O18" s="10">
        <f t="shared" si="9"/>
        <v>46371</v>
      </c>
      <c r="P18" s="11">
        <v>46023</v>
      </c>
      <c r="Q18" s="24">
        <v>40</v>
      </c>
      <c r="R18" s="9"/>
      <c r="S18" s="10">
        <f>O18+15</f>
        <v>46386</v>
      </c>
      <c r="T18" s="10">
        <f t="shared" si="6"/>
        <v>46526</v>
      </c>
      <c r="U18" s="9"/>
      <c r="V18" s="24">
        <v>0</v>
      </c>
      <c r="W18" s="9"/>
      <c r="X18" s="10">
        <f t="shared" si="2"/>
        <v>46527</v>
      </c>
      <c r="Y18" s="10">
        <f t="shared" si="3"/>
        <v>46541</v>
      </c>
      <c r="Z18" s="9"/>
      <c r="AA18" s="24">
        <v>0</v>
      </c>
      <c r="AB18" s="9"/>
      <c r="AC18" s="10">
        <f t="shared" si="4"/>
        <v>46548</v>
      </c>
      <c r="AD18" s="10">
        <f t="shared" si="7"/>
        <v>46555</v>
      </c>
      <c r="AE18" s="9"/>
      <c r="AF18" s="24">
        <v>0</v>
      </c>
      <c r="AG18" s="9"/>
      <c r="AH18" s="9">
        <v>0</v>
      </c>
    </row>
    <row r="19" spans="1:34" x14ac:dyDescent="0.3">
      <c r="A19" s="8" t="s">
        <v>41</v>
      </c>
      <c r="B19" s="8"/>
      <c r="C19" s="9">
        <v>10</v>
      </c>
      <c r="D19" s="9">
        <v>1.5</v>
      </c>
      <c r="E19" s="9">
        <v>0</v>
      </c>
      <c r="F19" s="9">
        <v>0</v>
      </c>
      <c r="G19" s="9">
        <v>0</v>
      </c>
      <c r="H19" s="9">
        <v>0</v>
      </c>
      <c r="I19" s="20">
        <v>46174</v>
      </c>
      <c r="J19" s="10">
        <f t="shared" si="5"/>
        <v>46188</v>
      </c>
      <c r="K19" s="11"/>
      <c r="L19" s="24">
        <v>0</v>
      </c>
      <c r="M19" s="9"/>
      <c r="N19" s="10">
        <f t="shared" si="0"/>
        <v>46191</v>
      </c>
      <c r="O19" s="10">
        <f t="shared" si="9"/>
        <v>46371</v>
      </c>
      <c r="P19" s="11">
        <v>46023</v>
      </c>
      <c r="Q19" s="24">
        <v>40</v>
      </c>
      <c r="R19" s="9"/>
      <c r="S19" s="10">
        <f>O19+30</f>
        <v>46401</v>
      </c>
      <c r="T19" s="10">
        <f t="shared" si="6"/>
        <v>46471</v>
      </c>
      <c r="U19" s="9"/>
      <c r="V19" s="24">
        <v>0</v>
      </c>
      <c r="W19" s="9"/>
      <c r="X19" s="10">
        <f t="shared" si="2"/>
        <v>46472</v>
      </c>
      <c r="Y19" s="10">
        <f t="shared" si="3"/>
        <v>46486</v>
      </c>
      <c r="Z19" s="9"/>
      <c r="AA19" s="24">
        <v>0</v>
      </c>
      <c r="AB19" s="9"/>
      <c r="AC19" s="10">
        <f t="shared" si="4"/>
        <v>46493</v>
      </c>
      <c r="AD19" s="10">
        <f t="shared" si="7"/>
        <v>46500</v>
      </c>
      <c r="AE19" s="9"/>
      <c r="AF19" s="24">
        <v>0</v>
      </c>
      <c r="AG19" s="9"/>
      <c r="AH19" s="9">
        <v>0</v>
      </c>
    </row>
    <row r="20" spans="1:34" ht="12.6" customHeight="1" x14ac:dyDescent="0.3">
      <c r="A20" s="8" t="s">
        <v>42</v>
      </c>
      <c r="B20" s="8"/>
      <c r="C20" s="9">
        <v>12</v>
      </c>
      <c r="D20" s="9">
        <v>0.8</v>
      </c>
      <c r="E20" s="9">
        <v>0</v>
      </c>
      <c r="F20" s="9">
        <v>0</v>
      </c>
      <c r="G20" s="9">
        <v>0</v>
      </c>
      <c r="H20" s="9">
        <v>0</v>
      </c>
      <c r="I20" s="20">
        <v>46174</v>
      </c>
      <c r="J20" s="10">
        <f t="shared" si="5"/>
        <v>46188</v>
      </c>
      <c r="K20" s="11"/>
      <c r="L20" s="24">
        <v>0</v>
      </c>
      <c r="M20" s="9"/>
      <c r="N20" s="10">
        <f t="shared" si="0"/>
        <v>46191</v>
      </c>
      <c r="O20" s="10">
        <f t="shared" si="9"/>
        <v>46371</v>
      </c>
      <c r="P20" s="11">
        <v>46023</v>
      </c>
      <c r="Q20" s="24">
        <v>40</v>
      </c>
      <c r="R20" s="9"/>
      <c r="S20" s="10">
        <f>O20+30</f>
        <v>46401</v>
      </c>
      <c r="T20" s="10">
        <f t="shared" si="6"/>
        <v>46485</v>
      </c>
      <c r="U20" s="9"/>
      <c r="V20" s="24">
        <v>0</v>
      </c>
      <c r="W20" s="9"/>
      <c r="X20" s="10">
        <f t="shared" si="2"/>
        <v>46486</v>
      </c>
      <c r="Y20" s="10">
        <f t="shared" si="3"/>
        <v>46500</v>
      </c>
      <c r="Z20" s="9"/>
      <c r="AA20" s="24">
        <v>0</v>
      </c>
      <c r="AB20" s="9"/>
      <c r="AC20" s="10">
        <f t="shared" si="4"/>
        <v>46507</v>
      </c>
      <c r="AD20" s="10">
        <f t="shared" si="7"/>
        <v>46514</v>
      </c>
      <c r="AE20" s="9"/>
      <c r="AF20" s="24">
        <v>0</v>
      </c>
      <c r="AG20" s="9"/>
      <c r="AH20" s="9">
        <v>0</v>
      </c>
    </row>
    <row r="21" spans="1:34" x14ac:dyDescent="0.3">
      <c r="A21" s="8" t="s">
        <v>43</v>
      </c>
      <c r="B21" s="8"/>
      <c r="C21" s="9">
        <v>13</v>
      </c>
      <c r="D21" s="9">
        <v>4.5999999999999996</v>
      </c>
      <c r="E21" s="9">
        <v>0</v>
      </c>
      <c r="F21" s="9">
        <v>0</v>
      </c>
      <c r="G21" s="9">
        <v>0</v>
      </c>
      <c r="H21" s="9">
        <v>0</v>
      </c>
      <c r="I21" s="20">
        <v>46174</v>
      </c>
      <c r="J21" s="10">
        <f t="shared" si="5"/>
        <v>46188</v>
      </c>
      <c r="K21" s="11">
        <v>46013</v>
      </c>
      <c r="L21" s="24">
        <v>100</v>
      </c>
      <c r="M21" s="11">
        <v>46038</v>
      </c>
      <c r="N21" s="10">
        <f t="shared" si="0"/>
        <v>46191</v>
      </c>
      <c r="O21" s="10">
        <f t="shared" si="9"/>
        <v>46371</v>
      </c>
      <c r="P21" s="11">
        <v>46034</v>
      </c>
      <c r="Q21" s="24">
        <v>40</v>
      </c>
      <c r="R21" s="9"/>
      <c r="S21" s="10">
        <f>O21+30</f>
        <v>46401</v>
      </c>
      <c r="T21" s="10">
        <f t="shared" si="6"/>
        <v>46492</v>
      </c>
      <c r="U21" s="9"/>
      <c r="V21" s="24">
        <v>0</v>
      </c>
      <c r="W21" s="9"/>
      <c r="X21" s="10">
        <f t="shared" si="2"/>
        <v>46493</v>
      </c>
      <c r="Y21" s="10">
        <f t="shared" si="3"/>
        <v>46507</v>
      </c>
      <c r="Z21" s="9"/>
      <c r="AA21" s="24">
        <v>0</v>
      </c>
      <c r="AB21" s="9"/>
      <c r="AC21" s="10">
        <f t="shared" si="4"/>
        <v>46514</v>
      </c>
      <c r="AD21" s="10">
        <f t="shared" si="7"/>
        <v>46521</v>
      </c>
      <c r="AE21" s="9"/>
      <c r="AF21" s="24">
        <v>0</v>
      </c>
      <c r="AG21" s="9"/>
      <c r="AH21" s="9">
        <v>0</v>
      </c>
    </row>
    <row r="22" spans="1:34" x14ac:dyDescent="0.3">
      <c r="A22" s="8" t="s">
        <v>44</v>
      </c>
      <c r="B22" s="8"/>
      <c r="C22" s="9">
        <v>20</v>
      </c>
      <c r="D22" s="9">
        <v>0.9</v>
      </c>
      <c r="E22" s="9">
        <v>0</v>
      </c>
      <c r="F22" s="9">
        <v>0</v>
      </c>
      <c r="G22" s="9">
        <v>0</v>
      </c>
      <c r="H22" s="9">
        <v>0</v>
      </c>
      <c r="I22" s="20">
        <v>46174</v>
      </c>
      <c r="J22" s="10">
        <f t="shared" si="5"/>
        <v>46188</v>
      </c>
      <c r="K22" s="11">
        <v>46055</v>
      </c>
      <c r="L22" s="24">
        <v>100</v>
      </c>
      <c r="M22" s="11">
        <v>46038</v>
      </c>
      <c r="N22" s="10">
        <f t="shared" si="0"/>
        <v>46191</v>
      </c>
      <c r="O22" s="10">
        <f t="shared" si="9"/>
        <v>46371</v>
      </c>
      <c r="P22" s="11">
        <v>46038</v>
      </c>
      <c r="Q22" s="24">
        <v>10</v>
      </c>
      <c r="R22" s="9"/>
      <c r="S22" s="10">
        <f>O22+15</f>
        <v>46386</v>
      </c>
      <c r="T22" s="10">
        <f t="shared" si="6"/>
        <v>46526</v>
      </c>
      <c r="U22" s="9"/>
      <c r="V22" s="24">
        <v>0</v>
      </c>
      <c r="W22" s="9"/>
      <c r="X22" s="10">
        <f t="shared" si="2"/>
        <v>46527</v>
      </c>
      <c r="Y22" s="10">
        <f t="shared" si="3"/>
        <v>46541</v>
      </c>
      <c r="Z22" s="9"/>
      <c r="AA22" s="24">
        <v>0</v>
      </c>
      <c r="AB22" s="9"/>
      <c r="AC22" s="10">
        <f t="shared" si="4"/>
        <v>46548</v>
      </c>
      <c r="AD22" s="10">
        <f t="shared" si="7"/>
        <v>46555</v>
      </c>
      <c r="AE22" s="9"/>
      <c r="AF22" s="24">
        <v>0</v>
      </c>
      <c r="AG22" s="9"/>
      <c r="AH22" s="9">
        <v>0</v>
      </c>
    </row>
    <row r="23" spans="1:34" x14ac:dyDescent="0.3">
      <c r="A23" s="8" t="s">
        <v>45</v>
      </c>
      <c r="B23" s="8"/>
      <c r="C23" s="9">
        <v>13</v>
      </c>
      <c r="D23" s="9">
        <v>1</v>
      </c>
      <c r="E23" s="9">
        <v>0</v>
      </c>
      <c r="F23" s="9">
        <v>0</v>
      </c>
      <c r="G23" s="9">
        <v>0</v>
      </c>
      <c r="H23" s="9">
        <v>0</v>
      </c>
      <c r="I23" s="20">
        <v>46174</v>
      </c>
      <c r="J23" s="10">
        <f t="shared" si="5"/>
        <v>46188</v>
      </c>
      <c r="K23" s="11">
        <v>46013</v>
      </c>
      <c r="L23" s="24">
        <v>100</v>
      </c>
      <c r="M23" s="11">
        <v>46038</v>
      </c>
      <c r="N23" s="10">
        <f t="shared" si="0"/>
        <v>46191</v>
      </c>
      <c r="O23" s="10">
        <f t="shared" si="9"/>
        <v>46371</v>
      </c>
      <c r="P23" s="11">
        <v>46038</v>
      </c>
      <c r="Q23" s="24">
        <v>10</v>
      </c>
      <c r="R23" s="9"/>
      <c r="S23" s="10">
        <f t="shared" ref="S23:S32" si="10">O23+30</f>
        <v>46401</v>
      </c>
      <c r="T23" s="10">
        <f t="shared" si="6"/>
        <v>46492</v>
      </c>
      <c r="U23" s="9"/>
      <c r="V23" s="24">
        <v>0</v>
      </c>
      <c r="W23" s="9"/>
      <c r="X23" s="10">
        <f t="shared" si="2"/>
        <v>46493</v>
      </c>
      <c r="Y23" s="10">
        <f t="shared" si="3"/>
        <v>46507</v>
      </c>
      <c r="Z23" s="9"/>
      <c r="AA23" s="24">
        <v>0</v>
      </c>
      <c r="AB23" s="9"/>
      <c r="AC23" s="10">
        <f t="shared" si="4"/>
        <v>46514</v>
      </c>
      <c r="AD23" s="10">
        <f t="shared" si="7"/>
        <v>46521</v>
      </c>
      <c r="AE23" s="9"/>
      <c r="AF23" s="24">
        <v>0</v>
      </c>
      <c r="AG23" s="9"/>
      <c r="AH23" s="9">
        <v>0</v>
      </c>
    </row>
    <row r="24" spans="1:34" x14ac:dyDescent="0.3">
      <c r="A24" s="8" t="s">
        <v>46</v>
      </c>
      <c r="B24" s="8"/>
      <c r="C24" s="9">
        <v>13</v>
      </c>
      <c r="D24" s="9">
        <v>1</v>
      </c>
      <c r="E24" s="9">
        <v>0</v>
      </c>
      <c r="F24" s="9">
        <v>0</v>
      </c>
      <c r="G24" s="9">
        <v>0</v>
      </c>
      <c r="H24" s="9">
        <v>0</v>
      </c>
      <c r="I24" s="20">
        <v>46174</v>
      </c>
      <c r="J24" s="10">
        <f t="shared" si="5"/>
        <v>46188</v>
      </c>
      <c r="K24" s="11">
        <v>46013</v>
      </c>
      <c r="L24" s="24">
        <v>100</v>
      </c>
      <c r="M24" s="11">
        <v>46038</v>
      </c>
      <c r="N24" s="10">
        <f t="shared" si="0"/>
        <v>46191</v>
      </c>
      <c r="O24" s="10">
        <f t="shared" si="9"/>
        <v>46371</v>
      </c>
      <c r="P24" s="11">
        <v>46038</v>
      </c>
      <c r="Q24" s="24">
        <v>10</v>
      </c>
      <c r="R24" s="9"/>
      <c r="S24" s="10">
        <f t="shared" si="10"/>
        <v>46401</v>
      </c>
      <c r="T24" s="10">
        <f t="shared" si="6"/>
        <v>46492</v>
      </c>
      <c r="U24" s="9"/>
      <c r="V24" s="24">
        <v>0</v>
      </c>
      <c r="W24" s="9"/>
      <c r="X24" s="10">
        <f t="shared" si="2"/>
        <v>46493</v>
      </c>
      <c r="Y24" s="10">
        <f t="shared" si="3"/>
        <v>46507</v>
      </c>
      <c r="Z24" s="9"/>
      <c r="AA24" s="24">
        <v>0</v>
      </c>
      <c r="AB24" s="9"/>
      <c r="AC24" s="10">
        <f t="shared" si="4"/>
        <v>46514</v>
      </c>
      <c r="AD24" s="10">
        <f t="shared" si="7"/>
        <v>46521</v>
      </c>
      <c r="AE24" s="9"/>
      <c r="AF24" s="24">
        <v>0</v>
      </c>
      <c r="AG24" s="9"/>
      <c r="AH24" s="9">
        <v>0</v>
      </c>
    </row>
    <row r="25" spans="1:34" x14ac:dyDescent="0.3">
      <c r="A25" s="8" t="s">
        <v>47</v>
      </c>
      <c r="B25" s="8"/>
      <c r="C25" s="9">
        <v>13</v>
      </c>
      <c r="D25" s="9">
        <v>1.5</v>
      </c>
      <c r="E25" s="9">
        <v>0</v>
      </c>
      <c r="F25" s="9">
        <v>0</v>
      </c>
      <c r="G25" s="9">
        <v>0</v>
      </c>
      <c r="H25" s="9">
        <v>0</v>
      </c>
      <c r="I25" s="20">
        <v>46174</v>
      </c>
      <c r="J25" s="10">
        <f t="shared" si="5"/>
        <v>46188</v>
      </c>
      <c r="K25" s="11">
        <v>46013</v>
      </c>
      <c r="L25" s="24">
        <v>100</v>
      </c>
      <c r="M25" s="11">
        <v>46034</v>
      </c>
      <c r="N25" s="10">
        <f t="shared" si="0"/>
        <v>46191</v>
      </c>
      <c r="O25" s="10">
        <f t="shared" si="9"/>
        <v>46371</v>
      </c>
      <c r="P25" s="11">
        <v>46035</v>
      </c>
      <c r="Q25" s="24">
        <v>10</v>
      </c>
      <c r="R25" s="9"/>
      <c r="S25" s="10">
        <f t="shared" si="10"/>
        <v>46401</v>
      </c>
      <c r="T25" s="10">
        <f t="shared" si="6"/>
        <v>46492</v>
      </c>
      <c r="U25" s="9"/>
      <c r="V25" s="24">
        <v>0</v>
      </c>
      <c r="W25" s="9"/>
      <c r="X25" s="10">
        <f t="shared" si="2"/>
        <v>46493</v>
      </c>
      <c r="Y25" s="10">
        <f t="shared" si="3"/>
        <v>46507</v>
      </c>
      <c r="Z25" s="9"/>
      <c r="AA25" s="24">
        <v>0</v>
      </c>
      <c r="AB25" s="9"/>
      <c r="AC25" s="10">
        <f t="shared" si="4"/>
        <v>46514</v>
      </c>
      <c r="AD25" s="10">
        <f t="shared" si="7"/>
        <v>46521</v>
      </c>
      <c r="AE25" s="9"/>
      <c r="AF25" s="24">
        <v>0</v>
      </c>
      <c r="AG25" s="9"/>
      <c r="AH25" s="9">
        <v>0</v>
      </c>
    </row>
    <row r="26" spans="1:34" x14ac:dyDescent="0.3">
      <c r="A26" s="8" t="s">
        <v>58</v>
      </c>
      <c r="B26" s="8"/>
      <c r="C26" s="9">
        <v>10</v>
      </c>
      <c r="D26" s="9">
        <v>0.3</v>
      </c>
      <c r="E26" s="9">
        <v>0</v>
      </c>
      <c r="F26" s="9">
        <v>0</v>
      </c>
      <c r="G26" s="9">
        <v>0</v>
      </c>
      <c r="H26" s="9">
        <v>0</v>
      </c>
      <c r="I26" s="20">
        <v>46174</v>
      </c>
      <c r="J26" s="10">
        <f t="shared" si="5"/>
        <v>46188</v>
      </c>
      <c r="K26" s="11">
        <v>46036</v>
      </c>
      <c r="L26" s="24">
        <v>100</v>
      </c>
      <c r="M26" s="11">
        <v>46062</v>
      </c>
      <c r="N26" s="10">
        <f t="shared" si="0"/>
        <v>46191</v>
      </c>
      <c r="O26" s="10">
        <f t="shared" si="9"/>
        <v>46371</v>
      </c>
      <c r="P26" s="11">
        <v>46063</v>
      </c>
      <c r="Q26" s="24">
        <v>10</v>
      </c>
      <c r="R26" s="9"/>
      <c r="S26" s="10">
        <f t="shared" si="10"/>
        <v>46401</v>
      </c>
      <c r="T26" s="10">
        <f t="shared" si="6"/>
        <v>46471</v>
      </c>
      <c r="U26" s="9"/>
      <c r="V26" s="24">
        <v>0</v>
      </c>
      <c r="W26" s="9"/>
      <c r="X26" s="10">
        <f t="shared" si="2"/>
        <v>46472</v>
      </c>
      <c r="Y26" s="10">
        <f t="shared" si="3"/>
        <v>46486</v>
      </c>
      <c r="Z26" s="9"/>
      <c r="AA26" s="24">
        <v>0</v>
      </c>
      <c r="AB26" s="9"/>
      <c r="AC26" s="10">
        <f t="shared" si="4"/>
        <v>46493</v>
      </c>
      <c r="AD26" s="10">
        <f t="shared" si="7"/>
        <v>46500</v>
      </c>
      <c r="AE26" s="9"/>
      <c r="AF26" s="24">
        <v>0</v>
      </c>
      <c r="AG26" s="9"/>
      <c r="AH26" s="9">
        <v>0</v>
      </c>
    </row>
    <row r="27" spans="1:34" x14ac:dyDescent="0.3">
      <c r="A27" s="8" t="s">
        <v>48</v>
      </c>
      <c r="B27" s="8"/>
      <c r="C27" s="9">
        <v>12</v>
      </c>
      <c r="D27" s="9">
        <v>0.2</v>
      </c>
      <c r="E27" s="9">
        <v>0</v>
      </c>
      <c r="F27" s="9">
        <v>0</v>
      </c>
      <c r="G27" s="9">
        <v>0</v>
      </c>
      <c r="H27" s="9">
        <v>0</v>
      </c>
      <c r="I27" s="20">
        <v>46174</v>
      </c>
      <c r="J27" s="10">
        <f>I27+14</f>
        <v>46188</v>
      </c>
      <c r="K27" s="11">
        <v>46055</v>
      </c>
      <c r="L27" s="24">
        <v>100</v>
      </c>
      <c r="M27" s="11">
        <v>46104</v>
      </c>
      <c r="N27" s="10">
        <f t="shared" si="0"/>
        <v>46191</v>
      </c>
      <c r="O27" s="10">
        <f t="shared" si="9"/>
        <v>46371</v>
      </c>
      <c r="P27" s="11">
        <v>46105</v>
      </c>
      <c r="Q27" s="24">
        <v>10</v>
      </c>
      <c r="R27" s="9"/>
      <c r="S27" s="10">
        <f t="shared" si="10"/>
        <v>46401</v>
      </c>
      <c r="T27" s="10">
        <f t="shared" si="6"/>
        <v>46485</v>
      </c>
      <c r="U27" s="9"/>
      <c r="V27" s="24">
        <v>0</v>
      </c>
      <c r="W27" s="9"/>
      <c r="X27" s="10">
        <f t="shared" si="2"/>
        <v>46486</v>
      </c>
      <c r="Y27" s="10">
        <f t="shared" si="3"/>
        <v>46500</v>
      </c>
      <c r="Z27" s="9"/>
      <c r="AA27" s="24">
        <v>0</v>
      </c>
      <c r="AB27" s="9"/>
      <c r="AC27" s="10">
        <f t="shared" si="4"/>
        <v>46507</v>
      </c>
      <c r="AD27" s="10">
        <f t="shared" si="7"/>
        <v>46514</v>
      </c>
      <c r="AE27" s="9"/>
      <c r="AF27" s="24">
        <v>0</v>
      </c>
      <c r="AG27" s="9"/>
      <c r="AH27" s="9">
        <v>0</v>
      </c>
    </row>
    <row r="28" spans="1:34" x14ac:dyDescent="0.3">
      <c r="A28" s="8" t="s">
        <v>49</v>
      </c>
      <c r="B28" s="8"/>
      <c r="C28" s="9">
        <v>14</v>
      </c>
      <c r="D28" s="9">
        <v>2</v>
      </c>
      <c r="E28" s="9">
        <v>0</v>
      </c>
      <c r="F28" s="9">
        <v>0</v>
      </c>
      <c r="G28" s="9">
        <v>0</v>
      </c>
      <c r="H28" s="9">
        <v>0</v>
      </c>
      <c r="I28" s="20">
        <v>46174</v>
      </c>
      <c r="J28" s="10">
        <f t="shared" si="5"/>
        <v>46188</v>
      </c>
      <c r="K28" s="11">
        <v>46036</v>
      </c>
      <c r="L28" s="24">
        <v>100</v>
      </c>
      <c r="M28" s="11">
        <v>46086</v>
      </c>
      <c r="N28" s="10">
        <f t="shared" si="0"/>
        <v>46191</v>
      </c>
      <c r="O28" s="10">
        <f t="shared" si="9"/>
        <v>46371</v>
      </c>
      <c r="P28" s="11">
        <v>46087</v>
      </c>
      <c r="Q28" s="24">
        <v>10</v>
      </c>
      <c r="R28" s="9"/>
      <c r="S28" s="10">
        <f t="shared" si="10"/>
        <v>46401</v>
      </c>
      <c r="T28" s="10">
        <f t="shared" si="6"/>
        <v>46499</v>
      </c>
      <c r="U28" s="9"/>
      <c r="V28" s="24">
        <v>0</v>
      </c>
      <c r="W28" s="9"/>
      <c r="X28" s="10">
        <f t="shared" si="2"/>
        <v>46500</v>
      </c>
      <c r="Y28" s="10">
        <f t="shared" si="3"/>
        <v>46514</v>
      </c>
      <c r="Z28" s="9"/>
      <c r="AA28" s="24">
        <v>0</v>
      </c>
      <c r="AB28" s="9"/>
      <c r="AC28" s="10">
        <f t="shared" si="4"/>
        <v>46521</v>
      </c>
      <c r="AD28" s="10">
        <f t="shared" si="7"/>
        <v>46528</v>
      </c>
      <c r="AE28" s="9"/>
      <c r="AF28" s="24">
        <v>0</v>
      </c>
      <c r="AG28" s="9"/>
      <c r="AH28" s="9">
        <v>0</v>
      </c>
    </row>
    <row r="29" spans="1:34" x14ac:dyDescent="0.3">
      <c r="A29" s="8" t="s">
        <v>50</v>
      </c>
      <c r="B29" s="8"/>
      <c r="C29" s="9">
        <v>12</v>
      </c>
      <c r="D29" s="9">
        <v>1.3</v>
      </c>
      <c r="E29" s="9">
        <v>0</v>
      </c>
      <c r="F29" s="9">
        <v>0</v>
      </c>
      <c r="G29" s="9">
        <v>0</v>
      </c>
      <c r="H29" s="9">
        <v>0</v>
      </c>
      <c r="I29" s="20">
        <v>46174</v>
      </c>
      <c r="J29" s="10">
        <f t="shared" si="5"/>
        <v>46188</v>
      </c>
      <c r="K29" s="11">
        <v>46104</v>
      </c>
      <c r="L29" s="24">
        <v>100</v>
      </c>
      <c r="M29" s="11">
        <v>46127</v>
      </c>
      <c r="N29" s="10">
        <f t="shared" si="0"/>
        <v>46191</v>
      </c>
      <c r="O29" s="10">
        <f t="shared" si="9"/>
        <v>46371</v>
      </c>
      <c r="P29" s="11">
        <v>46128</v>
      </c>
      <c r="Q29" s="24">
        <v>5</v>
      </c>
      <c r="R29" s="9"/>
      <c r="S29" s="10">
        <f t="shared" si="10"/>
        <v>46401</v>
      </c>
      <c r="T29" s="10">
        <f t="shared" si="6"/>
        <v>46485</v>
      </c>
      <c r="U29" s="9"/>
      <c r="V29" s="24">
        <v>0</v>
      </c>
      <c r="W29" s="9"/>
      <c r="X29" s="10">
        <f t="shared" si="2"/>
        <v>46486</v>
      </c>
      <c r="Y29" s="10">
        <f t="shared" si="3"/>
        <v>46500</v>
      </c>
      <c r="Z29" s="9"/>
      <c r="AA29" s="24">
        <v>0</v>
      </c>
      <c r="AB29" s="9"/>
      <c r="AC29" s="10">
        <f t="shared" si="4"/>
        <v>46507</v>
      </c>
      <c r="AD29" s="10">
        <f t="shared" si="7"/>
        <v>46514</v>
      </c>
      <c r="AE29" s="9"/>
      <c r="AF29" s="24">
        <v>0</v>
      </c>
      <c r="AG29" s="9"/>
      <c r="AH29" s="9">
        <v>0</v>
      </c>
    </row>
    <row r="30" spans="1:34" x14ac:dyDescent="0.3">
      <c r="A30" s="8" t="s">
        <v>61</v>
      </c>
      <c r="B30" s="8"/>
      <c r="C30" s="9">
        <v>8</v>
      </c>
      <c r="D30" s="9">
        <v>0.2</v>
      </c>
      <c r="E30" s="9">
        <v>0</v>
      </c>
      <c r="F30" s="9">
        <v>0</v>
      </c>
      <c r="G30" s="9">
        <v>0</v>
      </c>
      <c r="H30" s="9">
        <v>0</v>
      </c>
      <c r="I30" s="20">
        <v>46174</v>
      </c>
      <c r="J30" s="10">
        <f t="shared" si="5"/>
        <v>46188</v>
      </c>
      <c r="K30" s="9"/>
      <c r="L30" s="24">
        <v>0</v>
      </c>
      <c r="M30" s="9"/>
      <c r="N30" s="10">
        <f t="shared" si="0"/>
        <v>46191</v>
      </c>
      <c r="O30" s="10">
        <f t="shared" si="9"/>
        <v>46371</v>
      </c>
      <c r="P30" s="9"/>
      <c r="Q30" s="24">
        <v>0</v>
      </c>
      <c r="R30" s="9"/>
      <c r="S30" s="10">
        <f t="shared" si="10"/>
        <v>46401</v>
      </c>
      <c r="T30" s="10">
        <f t="shared" si="6"/>
        <v>46457</v>
      </c>
      <c r="U30" s="9"/>
      <c r="V30" s="24">
        <v>0</v>
      </c>
      <c r="W30" s="9"/>
      <c r="X30" s="10">
        <f t="shared" si="2"/>
        <v>46458</v>
      </c>
      <c r="Y30" s="10">
        <f t="shared" si="3"/>
        <v>46472</v>
      </c>
      <c r="Z30" s="9"/>
      <c r="AA30" s="24">
        <v>0</v>
      </c>
      <c r="AB30" s="9"/>
      <c r="AC30" s="10">
        <f t="shared" si="4"/>
        <v>46479</v>
      </c>
      <c r="AD30" s="10">
        <f t="shared" si="7"/>
        <v>46486</v>
      </c>
      <c r="AE30" s="9"/>
      <c r="AF30" s="24">
        <v>0</v>
      </c>
      <c r="AG30" s="9"/>
      <c r="AH30" s="9">
        <v>0</v>
      </c>
    </row>
    <row r="31" spans="1:34" x14ac:dyDescent="0.3">
      <c r="A31" s="8" t="s">
        <v>57</v>
      </c>
      <c r="B31" s="8"/>
      <c r="C31" s="9">
        <v>8</v>
      </c>
      <c r="D31" s="9">
        <v>2.1</v>
      </c>
      <c r="E31" s="9">
        <v>0</v>
      </c>
      <c r="F31" s="9">
        <v>0</v>
      </c>
      <c r="G31" s="9">
        <v>0</v>
      </c>
      <c r="H31" s="9">
        <v>0</v>
      </c>
      <c r="I31" s="20">
        <v>46174</v>
      </c>
      <c r="J31" s="10">
        <f t="shared" si="5"/>
        <v>46188</v>
      </c>
      <c r="K31" s="9"/>
      <c r="L31" s="24">
        <v>0</v>
      </c>
      <c r="M31" s="9"/>
      <c r="N31" s="10">
        <f t="shared" si="0"/>
        <v>46191</v>
      </c>
      <c r="O31" s="10">
        <f t="shared" si="9"/>
        <v>46371</v>
      </c>
      <c r="P31" s="9"/>
      <c r="Q31" s="24">
        <v>0</v>
      </c>
      <c r="R31" s="9"/>
      <c r="S31" s="10">
        <f t="shared" si="10"/>
        <v>46401</v>
      </c>
      <c r="T31" s="10">
        <f t="shared" ref="T31:T32" si="11">S31+C31*7</f>
        <v>46457</v>
      </c>
      <c r="U31" s="9"/>
      <c r="V31" s="24">
        <v>0</v>
      </c>
      <c r="W31" s="9"/>
      <c r="X31" s="10">
        <f t="shared" ref="X31:X32" si="12">T31+1</f>
        <v>46458</v>
      </c>
      <c r="Y31" s="10">
        <f t="shared" ref="Y31:Y32" si="13">X31+14</f>
        <v>46472</v>
      </c>
      <c r="Z31" s="9"/>
      <c r="AA31" s="24">
        <v>0</v>
      </c>
      <c r="AB31" s="9"/>
      <c r="AC31" s="10">
        <f t="shared" ref="AC31:AC32" si="14">Y31+7</f>
        <v>46479</v>
      </c>
      <c r="AD31" s="10">
        <f t="shared" ref="AD31:AD32" si="15">AC31+7</f>
        <v>46486</v>
      </c>
      <c r="AE31" s="9"/>
      <c r="AF31" s="24">
        <v>0</v>
      </c>
      <c r="AG31" s="9"/>
      <c r="AH31" s="9">
        <v>0</v>
      </c>
    </row>
    <row r="32" spans="1:34" x14ac:dyDescent="0.3">
      <c r="A32" s="12" t="s">
        <v>60</v>
      </c>
      <c r="B32" s="13"/>
      <c r="C32" s="13">
        <v>8</v>
      </c>
      <c r="D32" s="13">
        <v>0.2</v>
      </c>
      <c r="E32" s="13">
        <v>0</v>
      </c>
      <c r="F32" s="13">
        <v>0</v>
      </c>
      <c r="G32" s="13">
        <v>0</v>
      </c>
      <c r="H32" s="13">
        <v>0</v>
      </c>
      <c r="I32" s="21">
        <v>46174</v>
      </c>
      <c r="J32" s="14">
        <f t="shared" ref="J32" si="16">I32+14</f>
        <v>46188</v>
      </c>
      <c r="K32" s="15">
        <v>46036</v>
      </c>
      <c r="L32" s="25">
        <v>100</v>
      </c>
      <c r="M32" s="15">
        <v>46062</v>
      </c>
      <c r="N32" s="14">
        <f t="shared" ref="N32" si="17">J32+3</f>
        <v>46191</v>
      </c>
      <c r="O32" s="14">
        <f t="shared" si="9"/>
        <v>46371</v>
      </c>
      <c r="P32" s="15">
        <v>46062</v>
      </c>
      <c r="Q32" s="25">
        <v>0</v>
      </c>
      <c r="R32" s="13"/>
      <c r="S32" s="14">
        <f t="shared" si="10"/>
        <v>46401</v>
      </c>
      <c r="T32" s="14">
        <f t="shared" si="11"/>
        <v>46457</v>
      </c>
      <c r="U32" s="13"/>
      <c r="V32" s="25">
        <v>0</v>
      </c>
      <c r="W32" s="13"/>
      <c r="X32" s="14">
        <f t="shared" si="12"/>
        <v>46458</v>
      </c>
      <c r="Y32" s="14">
        <f t="shared" si="13"/>
        <v>46472</v>
      </c>
      <c r="Z32" s="13"/>
      <c r="AA32" s="25">
        <v>0</v>
      </c>
      <c r="AB32" s="13"/>
      <c r="AC32" s="14">
        <f t="shared" si="14"/>
        <v>46479</v>
      </c>
      <c r="AD32" s="14">
        <f t="shared" si="15"/>
        <v>46486</v>
      </c>
      <c r="AE32" s="13"/>
      <c r="AF32" s="25">
        <v>0</v>
      </c>
      <c r="AG32" s="13"/>
      <c r="AH32" s="13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C18" sqref="C18"/>
    </sheetView>
  </sheetViews>
  <sheetFormatPr defaultRowHeight="17.399999999999999" x14ac:dyDescent="0.4"/>
  <cols>
    <col min="2" max="3" width="10" bestFit="1" customWidth="1"/>
  </cols>
  <sheetData>
    <row r="1" spans="1:3" x14ac:dyDescent="0.4">
      <c r="A1" s="16" t="s">
        <v>51</v>
      </c>
      <c r="B1" s="16" t="s">
        <v>52</v>
      </c>
      <c r="C1" s="16" t="s">
        <v>53</v>
      </c>
    </row>
    <row r="2" spans="1:3" x14ac:dyDescent="0.4">
      <c r="A2" s="17" t="s">
        <v>54</v>
      </c>
      <c r="B2" s="18">
        <v>45976</v>
      </c>
      <c r="C2" s="18">
        <v>46356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Schedule</vt:lpstr>
      <vt:lpstr>ProjectInfo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엠코 이</cp:lastModifiedBy>
  <dcterms:created xsi:type="dcterms:W3CDTF">2025-12-22T00:31:28Z</dcterms:created>
  <dcterms:modified xsi:type="dcterms:W3CDTF">2026-04-23T07:50:07Z</dcterms:modified>
</cp:coreProperties>
</file>